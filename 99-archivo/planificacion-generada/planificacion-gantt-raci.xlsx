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 Gema\Desktop\Visual Proyectos\liderazgo_7\investigacion\planificacion\entregables\"/>
    </mc:Choice>
  </mc:AlternateContent>
  <xr:revisionPtr revIDLastSave="0" documentId="13_ncr:1_{5ED2A868-BE7A-4E63-A5E9-C004A1D080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a Gantt" sheetId="1" r:id="rId1"/>
    <sheet name="Matriz RAC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2" l="1"/>
  <c r="H27" i="2"/>
  <c r="G27" i="2"/>
  <c r="F27" i="2"/>
  <c r="E27" i="2"/>
  <c r="D27" i="2"/>
  <c r="I26" i="2"/>
  <c r="H26" i="2"/>
  <c r="G26" i="2"/>
  <c r="F26" i="2"/>
  <c r="E26" i="2"/>
  <c r="D26" i="2"/>
  <c r="I25" i="2"/>
  <c r="H25" i="2"/>
  <c r="G25" i="2"/>
  <c r="F25" i="2"/>
  <c r="E25" i="2"/>
  <c r="D25" i="2"/>
  <c r="I24" i="2"/>
  <c r="H24" i="2"/>
  <c r="G24" i="2"/>
  <c r="F24" i="2"/>
  <c r="E24" i="2"/>
  <c r="D24" i="2"/>
  <c r="D28" i="2" s="1"/>
  <c r="E28" i="2" s="1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L25" i="1"/>
  <c r="G25" i="1"/>
  <c r="L24" i="1"/>
  <c r="G24" i="1"/>
  <c r="H23" i="1"/>
  <c r="J23" i="1" s="1"/>
  <c r="H22" i="1"/>
  <c r="J22" i="1" s="1"/>
  <c r="H21" i="1"/>
  <c r="J21" i="1" s="1"/>
  <c r="H20" i="1"/>
  <c r="J20" i="1" s="1"/>
  <c r="H19" i="1"/>
  <c r="J19" i="1" s="1"/>
  <c r="H18" i="1"/>
  <c r="J18" i="1" s="1"/>
  <c r="H17" i="1"/>
  <c r="J17" i="1" s="1"/>
  <c r="H16" i="1"/>
  <c r="J16" i="1" s="1"/>
  <c r="H15" i="1"/>
  <c r="J15" i="1" s="1"/>
  <c r="H14" i="1"/>
  <c r="J14" i="1" s="1"/>
  <c r="H13" i="1"/>
  <c r="J13" i="1" s="1"/>
  <c r="H12" i="1"/>
  <c r="J12" i="1" s="1"/>
  <c r="J11" i="1"/>
  <c r="H11" i="1"/>
  <c r="H10" i="1"/>
  <c r="J10" i="1" s="1"/>
  <c r="H9" i="1"/>
  <c r="J9" i="1" s="1"/>
  <c r="H8" i="1"/>
  <c r="J8" i="1" s="1"/>
  <c r="H7" i="1"/>
  <c r="J7" i="1" s="1"/>
  <c r="M5" i="1"/>
  <c r="M25" i="1" s="1"/>
  <c r="M24" i="1" l="1"/>
  <c r="N5" i="1"/>
  <c r="N24" i="1"/>
  <c r="N25" i="1" l="1"/>
  <c r="O5" i="1"/>
  <c r="P5" i="1" l="1"/>
  <c r="O24" i="1"/>
  <c r="O25" i="1"/>
  <c r="P25" i="1" l="1"/>
  <c r="P24" i="1"/>
  <c r="Q5" i="1"/>
  <c r="R5" i="1" l="1"/>
  <c r="Q24" i="1"/>
  <c r="Q25" i="1"/>
  <c r="S5" i="1" l="1"/>
  <c r="R25" i="1"/>
  <c r="R24" i="1"/>
  <c r="S24" i="1" l="1"/>
  <c r="T5" i="1"/>
  <c r="S25" i="1"/>
  <c r="T25" i="1" l="1"/>
  <c r="U5" i="1"/>
  <c r="T24" i="1"/>
  <c r="V5" i="1" l="1"/>
  <c r="U24" i="1"/>
  <c r="U25" i="1"/>
  <c r="V24" i="1" l="1"/>
  <c r="V25" i="1"/>
  <c r="W5" i="1"/>
  <c r="W24" i="1" l="1"/>
  <c r="X5" i="1"/>
  <c r="W25" i="1"/>
  <c r="X25" i="1" l="1"/>
  <c r="X24" i="1"/>
  <c r="Y5" i="1"/>
  <c r="Y24" i="1" l="1"/>
  <c r="Z5" i="1"/>
  <c r="Y25" i="1"/>
  <c r="Z25" i="1" l="1"/>
  <c r="AA5" i="1"/>
  <c r="Z24" i="1"/>
  <c r="AA24" i="1" l="1"/>
  <c r="AB5" i="1"/>
  <c r="AA25" i="1"/>
  <c r="AB25" i="1" l="1"/>
  <c r="AC5" i="1"/>
  <c r="AB24" i="1"/>
  <c r="AD5" i="1" l="1"/>
  <c r="AC24" i="1"/>
  <c r="AC25" i="1"/>
  <c r="AE5" i="1" l="1"/>
  <c r="AD25" i="1"/>
  <c r="AD24" i="1"/>
  <c r="AF5" i="1" l="1"/>
  <c r="AE25" i="1"/>
  <c r="AE24" i="1"/>
  <c r="AF25" i="1" l="1"/>
  <c r="AG5" i="1"/>
  <c r="AF24" i="1"/>
  <c r="AG24" i="1" l="1"/>
  <c r="AH5" i="1"/>
  <c r="AG25" i="1"/>
  <c r="AH24" i="1" l="1"/>
  <c r="AI5" i="1"/>
  <c r="AH25" i="1"/>
  <c r="AJ5" i="1" l="1"/>
  <c r="AI25" i="1"/>
  <c r="AI24" i="1"/>
  <c r="AK5" i="1" l="1"/>
  <c r="AJ25" i="1"/>
  <c r="AJ24" i="1"/>
  <c r="AK25" i="1" l="1"/>
  <c r="AL5" i="1"/>
  <c r="AK24" i="1"/>
  <c r="AL25" i="1" l="1"/>
  <c r="AL24" i="1"/>
  <c r="AM5" i="1"/>
  <c r="AN5" i="1" l="1"/>
  <c r="AM24" i="1"/>
  <c r="AM25" i="1"/>
  <c r="AN25" i="1" l="1"/>
  <c r="AN24" i="1"/>
  <c r="AO5" i="1"/>
  <c r="AO24" i="1" l="1"/>
  <c r="AP5" i="1"/>
  <c r="AO25" i="1"/>
  <c r="AQ5" i="1" l="1"/>
  <c r="AP24" i="1"/>
  <c r="AP25" i="1"/>
  <c r="AR5" i="1" l="1"/>
  <c r="AQ24" i="1"/>
  <c r="AQ25" i="1"/>
  <c r="AR25" i="1" l="1"/>
  <c r="AS5" i="1"/>
  <c r="AR24" i="1"/>
  <c r="AS24" i="1" l="1"/>
  <c r="AT5" i="1"/>
  <c r="AS25" i="1"/>
  <c r="AT24" i="1" l="1"/>
  <c r="AU5" i="1"/>
  <c r="AT25" i="1"/>
  <c r="AV5" i="1" l="1"/>
  <c r="AU24" i="1"/>
  <c r="AU25" i="1"/>
  <c r="AV25" i="1" l="1"/>
  <c r="AV24" i="1"/>
  <c r="AW5" i="1"/>
  <c r="AW24" i="1" l="1"/>
  <c r="AX5" i="1"/>
  <c r="AW25" i="1"/>
  <c r="AY5" i="1" l="1"/>
  <c r="AX24" i="1"/>
  <c r="AX25" i="1"/>
  <c r="AZ5" i="1" l="1"/>
  <c r="AY25" i="1"/>
  <c r="AY24" i="1"/>
  <c r="BA5" i="1" l="1"/>
  <c r="AZ25" i="1"/>
  <c r="AZ24" i="1"/>
  <c r="BB5" i="1" l="1"/>
  <c r="BA25" i="1"/>
  <c r="BA24" i="1"/>
  <c r="BC5" i="1" l="1"/>
  <c r="BB24" i="1"/>
  <c r="BB25" i="1"/>
  <c r="BD5" i="1" l="1"/>
  <c r="BC24" i="1"/>
  <c r="BC25" i="1"/>
  <c r="BD25" i="1" l="1"/>
  <c r="BD24" i="1"/>
  <c r="BE5" i="1"/>
  <c r="BE24" i="1" l="1"/>
  <c r="BF5" i="1"/>
  <c r="BE25" i="1"/>
  <c r="BG5" i="1" l="1"/>
  <c r="BF24" i="1"/>
  <c r="BF25" i="1"/>
  <c r="BG24" i="1" l="1"/>
  <c r="BG25" i="1"/>
  <c r="BH5" i="1"/>
  <c r="BH25" i="1" l="1"/>
  <c r="BH24" i="1"/>
  <c r="BI5" i="1"/>
  <c r="BI25" i="1" l="1"/>
  <c r="BI24" i="1"/>
</calcChain>
</file>

<file path=xl/sharedStrings.xml><?xml version="1.0" encoding="utf-8"?>
<sst xmlns="http://schemas.openxmlformats.org/spreadsheetml/2006/main" count="391" uniqueCount="133">
  <si>
    <t>Carta Gantt: Alimentación y bienestar emocional (2026)</t>
  </si>
  <si>
    <t>Versión 1 · sujeta a validación del equipo · Estructura según ppt-9, diapositivas 9–10 (tareas, fechas, barras, escala de tiempo e hitos)</t>
  </si>
  <si>
    <t>ID</t>
  </si>
  <si>
    <t>Tarea</t>
  </si>
  <si>
    <t>Fase</t>
  </si>
  <si>
    <t>Responsable (A)</t>
  </si>
  <si>
    <t>Depende de</t>
  </si>
  <si>
    <t>Inicio</t>
  </si>
  <si>
    <t>Fin</t>
  </si>
  <si>
    <t>Duración (días)</t>
  </si>
  <si>
    <t>Holgura (días)</t>
  </si>
  <si>
    <t>Trabajo (días)</t>
  </si>
  <si>
    <t>Ruta crítica</t>
  </si>
  <si>
    <t>S1 · 05–11/10</t>
  </si>
  <si>
    <t>S2 · 12–18/10</t>
  </si>
  <si>
    <t>S3 · 19–25/10</t>
  </si>
  <si>
    <t>S4 · 26/10–01/11</t>
  </si>
  <si>
    <t>S5 · 02–08/11</t>
  </si>
  <si>
    <t>S6 · 09–15/11</t>
  </si>
  <si>
    <t>S7 · 16–22/11</t>
  </si>
  <si>
    <t>S8</t>
  </si>
  <si>
    <t>L</t>
  </si>
  <si>
    <t>M</t>
  </si>
  <si>
    <t>J</t>
  </si>
  <si>
    <t>V</t>
  </si>
  <si>
    <t>S</t>
  </si>
  <si>
    <t>D</t>
  </si>
  <si>
    <t>T01</t>
  </si>
  <si>
    <t>Lluvia de ideas (Avance 1)</t>
  </si>
  <si>
    <t>1. Organización</t>
  </si>
  <si>
    <t>José Villamayor</t>
  </si>
  <si>
    <t>No</t>
  </si>
  <si>
    <t>T02</t>
  </si>
  <si>
    <t>Objetivo de trabajo</t>
  </si>
  <si>
    <t>Claudio Toledo</t>
  </si>
  <si>
    <t>T03</t>
  </si>
  <si>
    <t>Planificación validada (tareas, tiempos, RACI, Gantt, HH)</t>
  </si>
  <si>
    <t>Rodolfo Fernández</t>
  </si>
  <si>
    <t>T04</t>
  </si>
  <si>
    <t>Idea de investigación: revisión inicial</t>
  </si>
  <si>
    <t>2. Investigación</t>
  </si>
  <si>
    <t>Álvaro Catalán</t>
  </si>
  <si>
    <t>T05</t>
  </si>
  <si>
    <t>Definición del problema</t>
  </si>
  <si>
    <t>T02, T04</t>
  </si>
  <si>
    <t>Sí</t>
  </si>
  <si>
    <t>T06</t>
  </si>
  <si>
    <t>Marco teórico</t>
  </si>
  <si>
    <t>T05 (borrador)</t>
  </si>
  <si>
    <t>T07</t>
  </si>
  <si>
    <t>Marco metodológico</t>
  </si>
  <si>
    <t>Isidora Osorio</t>
  </si>
  <si>
    <t>T05; T06 en curso</t>
  </si>
  <si>
    <t>T08</t>
  </si>
  <si>
    <t>Presentación de avances (02/11)</t>
  </si>
  <si>
    <t>T05; estado de T07</t>
  </si>
  <si>
    <t>T09</t>
  </si>
  <si>
    <t>Aplicación del instrumento (si aplica)</t>
  </si>
  <si>
    <t>3. Resultados y propuesta</t>
  </si>
  <si>
    <t>T10</t>
  </si>
  <si>
    <t>Análisis de resultados</t>
  </si>
  <si>
    <t>T09 (o T06 si no hay recolección)</t>
  </si>
  <si>
    <t>T11</t>
  </si>
  <si>
    <t>Propuesta de solución</t>
  </si>
  <si>
    <t>T12</t>
  </si>
  <si>
    <t>Informe de investigación</t>
  </si>
  <si>
    <t>4. Entregables y difusión</t>
  </si>
  <si>
    <t>T05, T06; cierre tras T11</t>
  </si>
  <si>
    <t>T13</t>
  </si>
  <si>
    <t>Publicación digital</t>
  </si>
  <si>
    <t>Paula Eguileor</t>
  </si>
  <si>
    <t>T06; incorpora T10</t>
  </si>
  <si>
    <t>T14</t>
  </si>
  <si>
    <t>Campaña de difusión</t>
  </si>
  <si>
    <t>Difusión tras publicar T13</t>
  </si>
  <si>
    <t>T15</t>
  </si>
  <si>
    <t>Interacción con la audiencia (blog, podcast o foro)</t>
  </si>
  <si>
    <t>Modalidad elegida; T13 publicada</t>
  </si>
  <si>
    <t>T16</t>
  </si>
  <si>
    <t>Presentación final (23/11)</t>
  </si>
  <si>
    <t>T11; cierre de T12 y T15</t>
  </si>
  <si>
    <t>T17</t>
  </si>
  <si>
    <t>Coordinación y seguimiento</t>
  </si>
  <si>
    <t>Transversal</t>
  </si>
  <si>
    <t>Toda la duración</t>
  </si>
  <si>
    <t>H1</t>
  </si>
  <si>
    <t>◆ Presentación de avances</t>
  </si>
  <si>
    <t>Hito</t>
  </si>
  <si>
    <t>Todo el equipo</t>
  </si>
  <si>
    <t>H2</t>
  </si>
  <si>
    <t>◆ Presentación final</t>
  </si>
  <si>
    <t>Leyenda y supuestos</t>
  </si>
  <si>
    <t>Día sin clases (1)</t>
  </si>
  <si>
    <t>Día sin clases (2)</t>
  </si>
  <si>
    <t>Color</t>
  </si>
  <si>
    <t>Significado</t>
  </si>
  <si>
    <t>Trabajo planificado</t>
  </si>
  <si>
    <t>Trabajo planificado en la ruta crítica</t>
  </si>
  <si>
    <t>Holgura para imprevistos (últimos días de la tarea)</t>
  </si>
  <si>
    <t>Día sin clases</t>
  </si>
  <si>
    <t>Fin de semana</t>
  </si>
  <si>
    <t>◆</t>
  </si>
  <si>
    <t>Hito (presentaciones)</t>
  </si>
  <si>
    <t>Texto azul = datos editables (inicio, fin, holgura y días sin clases). Las duraciones, el trabajo y las barras se recalculan solos.</t>
  </si>
  <si>
    <t>Duración = Fin − Inicio + 1 (días corridos). Trabajo = Duración − Holgura. La holgura va al final de cada tarea (ppt-9, diap. 6).</t>
  </si>
  <si>
    <t>Los hitos y los días sin clases los informó el equipo. Las demás fechas son una estimación (versión 1) que deben validar las seis personas.</t>
  </si>
  <si>
    <t>T09 (aplicación del instrumento) solo se ejecuta si el método aprobado contempla recolectar datos.</t>
  </si>
  <si>
    <t>T17 (coordinación) es continua y no tiene holgura. El detalle de tareas y dependencias está en el documento Word de planificación.</t>
  </si>
  <si>
    <t>Matriz RACI: Alimentación y bienestar emocional (2026)</t>
  </si>
  <si>
    <t>Versión 1 · sujeta a validación del equipo · Según ppt-9, diapositivas 7–8. Las asignaciones no describen habilidades ni preferencias de nadie.</t>
  </si>
  <si>
    <t>Control: una sola A</t>
  </si>
  <si>
    <t>A/R</t>
  </si>
  <si>
    <t>R</t>
  </si>
  <si>
    <t>C</t>
  </si>
  <si>
    <t>I</t>
  </si>
  <si>
    <t>Resumen por persona</t>
  </si>
  <si>
    <t>José</t>
  </si>
  <si>
    <t>Claudio</t>
  </si>
  <si>
    <t>Álvaro</t>
  </si>
  <si>
    <t>Isidora</t>
  </si>
  <si>
    <t>Paula</t>
  </si>
  <si>
    <t>Rodolfo</t>
  </si>
  <si>
    <t>Tareas como A (Autoridad)</t>
  </si>
  <si>
    <t>Tareas como R (incluye A/R)</t>
  </si>
  <si>
    <t>Tareas como C (Consultado)</t>
  </si>
  <si>
    <t>Tareas como I (Informado)</t>
  </si>
  <si>
    <t>Total de tareas con A</t>
  </si>
  <si>
    <t>Definiciones (ppt-9, diapositiva 8)</t>
  </si>
  <si>
    <t>A (Autoridad): responde por la finalización adecuada de la tarea y delega lo que hay que ejecutar. Hay una sola A por tarea. En esta matriz la A también ejecuta (R).</t>
  </si>
  <si>
    <t>R (Responsable): realiza el trabajo para completar la tarea. Si lo delega, igual responde por la entrega.</t>
  </si>
  <si>
    <t>C (Consultado): aporta opiniones de valor, con comunicación en ambas direcciones.</t>
  </si>
  <si>
    <t>I (Informado): recibe actualizaciones del progreso, por lo general al finalizar y entregar la tarea.</t>
  </si>
  <si>
    <t>Texto azul = asignaciones editables (A/R, R, C, I). Los colores, el control de una sola A y el resumen se recalculan solos. Cada persona debe confirmar sus asignaciones antes de dar la matriz por aprobada.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</si>
</sst>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"/>
  </numFmts>
  <fonts count="16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sz val="8"/>
      <color rgb="FFFFFFFF"/>
      <name val="Arial"/>
    </font>
    <font>
      <b/>
      <sz val="10"/>
      <color rgb="FFC00000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0"/>
      <color rgb="FF0000FF"/>
      <name val="Arial"/>
    </font>
    <font>
      <b/>
      <sz val="11"/>
      <color rgb="FF1F3864"/>
      <name val="Arial"/>
    </font>
    <font>
      <sz val="10"/>
      <name val="Arial"/>
    </font>
    <font>
      <b/>
      <sz val="10"/>
      <name val="Arial"/>
    </font>
    <font>
      <sz val="9"/>
      <color rgb="FF595959"/>
      <name val="Arial"/>
    </font>
    <font>
      <sz val="10"/>
      <color rgb="FF595959"/>
      <name val="Arial"/>
    </font>
    <font>
      <b/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F5597"/>
        <bgColor rgb="FF2F5597"/>
      </patternFill>
    </fill>
    <fill>
      <patternFill patternType="solid">
        <fgColor rgb="FFFCE4D6"/>
        <bgColor rgb="FFFCE4D6"/>
      </patternFill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  <fill>
      <patternFill patternType="solid">
        <fgColor rgb="FFF4B183"/>
        <bgColor rgb="FFF4B183"/>
      </patternFill>
    </fill>
    <fill>
      <patternFill patternType="solid">
        <fgColor rgb="FFFFE699"/>
        <bgColor rgb="FFFFE699"/>
      </patternFill>
    </fill>
    <fill>
      <patternFill patternType="solid">
        <fgColor rgb="FFEDEDED"/>
        <bgColor rgb="FFEDEDED"/>
      </patternFill>
    </fill>
    <fill>
      <patternFill patternType="solid">
        <fgColor rgb="FF8EA9DB"/>
        <bgColor rgb="FF8EA9DB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/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14" fontId="9" fillId="4" borderId="1" xfId="0" applyNumberFormat="1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14" fontId="8" fillId="0" borderId="0" xfId="0" applyNumberFormat="1" applyFont="1" applyAlignment="1">
      <alignment horizontal="left" vertical="center" wrapText="1"/>
    </xf>
    <xf numFmtId="0" fontId="12" fillId="0" borderId="0" xfId="0" applyFont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0" fontId="14" fillId="0" borderId="0" xfId="0" applyFont="1"/>
    <xf numFmtId="0" fontId="15" fillId="10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3" fillId="0" borderId="0" xfId="0" applyFont="1" applyAlignment="1">
      <alignment horizontal="left" vertical="center" wrapText="1"/>
    </xf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1" fillId="0" borderId="0" xfId="0" applyFont="1" applyAlignment="1">
      <alignment horizontal="left" vertical="center" wrapText="1"/>
    </xf>
  </cellXfs>
  <cellStyles count="1">
    <cellStyle name="Normal" xfId="0" builtinId="0"/>
  </cellStyles>
  <dxfs count="10">
    <dxf>
      <font>
        <b/>
        <color rgb="FFC00000"/>
        <name val="Arial"/>
      </font>
      <fill>
        <patternFill patternType="solid">
          <fgColor rgb="FFF8CBAD"/>
          <bgColor rgb="FFF8CBAD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8EA9DB"/>
          <bgColor rgb="FF8EA9DB"/>
        </patternFill>
      </fill>
    </dxf>
    <dxf>
      <font>
        <b/>
        <color rgb="FFFFFFFF"/>
        <name val="Arial"/>
      </font>
      <fill>
        <patternFill patternType="solid">
          <fgColor rgb="FF1F3864"/>
          <bgColor rgb="FF1F3864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4472C4"/>
          <bgColor rgb="FF4472C4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4B183"/>
          <bgColor rgb="FFF4B18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43"/>
  <sheetViews>
    <sheetView tabSelected="1" zoomScale="90" workbookViewId="0">
      <pane xSplit="11" ySplit="6" topLeftCell="L7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6" customWidth="1"/>
    <col min="2" max="2" width="34" customWidth="1"/>
    <col min="3" max="3" width="20" customWidth="1"/>
    <col min="4" max="4" width="19" customWidth="1"/>
    <col min="5" max="5" width="22" customWidth="1"/>
    <col min="6" max="7" width="11" customWidth="1"/>
    <col min="8" max="10" width="9" customWidth="1"/>
    <col min="11" max="11" width="8" customWidth="1"/>
    <col min="12" max="61" width="3.33203125" customWidth="1"/>
  </cols>
  <sheetData>
    <row r="1" spans="1:61" ht="17.399999999999999" x14ac:dyDescent="0.3">
      <c r="A1" s="1" t="s">
        <v>0</v>
      </c>
    </row>
    <row r="2" spans="1:61" x14ac:dyDescent="0.3">
      <c r="A2" s="2" t="s">
        <v>1</v>
      </c>
    </row>
    <row r="4" spans="1:61" x14ac:dyDescent="0.3">
      <c r="A4" s="34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4" t="s">
        <v>7</v>
      </c>
      <c r="G4" s="34" t="s">
        <v>8</v>
      </c>
      <c r="H4" s="34" t="s">
        <v>9</v>
      </c>
      <c r="I4" s="34" t="s">
        <v>10</v>
      </c>
      <c r="J4" s="34" t="s">
        <v>11</v>
      </c>
      <c r="K4" s="34" t="s">
        <v>12</v>
      </c>
      <c r="L4" s="39" t="s">
        <v>13</v>
      </c>
      <c r="M4" s="40"/>
      <c r="N4" s="40"/>
      <c r="O4" s="40"/>
      <c r="P4" s="40"/>
      <c r="Q4" s="40"/>
      <c r="R4" s="41"/>
      <c r="S4" s="39" t="s">
        <v>14</v>
      </c>
      <c r="T4" s="40"/>
      <c r="U4" s="40"/>
      <c r="V4" s="40"/>
      <c r="W4" s="40"/>
      <c r="X4" s="40"/>
      <c r="Y4" s="41"/>
      <c r="Z4" s="39" t="s">
        <v>15</v>
      </c>
      <c r="AA4" s="40"/>
      <c r="AB4" s="40"/>
      <c r="AC4" s="40"/>
      <c r="AD4" s="40"/>
      <c r="AE4" s="40"/>
      <c r="AF4" s="41"/>
      <c r="AG4" s="39" t="s">
        <v>16</v>
      </c>
      <c r="AH4" s="40"/>
      <c r="AI4" s="40"/>
      <c r="AJ4" s="40"/>
      <c r="AK4" s="40"/>
      <c r="AL4" s="40"/>
      <c r="AM4" s="41"/>
      <c r="AN4" s="39" t="s">
        <v>17</v>
      </c>
      <c r="AO4" s="40"/>
      <c r="AP4" s="40"/>
      <c r="AQ4" s="40"/>
      <c r="AR4" s="40"/>
      <c r="AS4" s="40"/>
      <c r="AT4" s="41"/>
      <c r="AU4" s="39" t="s">
        <v>18</v>
      </c>
      <c r="AV4" s="40"/>
      <c r="AW4" s="40"/>
      <c r="AX4" s="40"/>
      <c r="AY4" s="40"/>
      <c r="AZ4" s="40"/>
      <c r="BA4" s="41"/>
      <c r="BB4" s="39" t="s">
        <v>19</v>
      </c>
      <c r="BC4" s="40"/>
      <c r="BD4" s="40"/>
      <c r="BE4" s="40"/>
      <c r="BF4" s="40"/>
      <c r="BG4" s="40"/>
      <c r="BH4" s="41"/>
      <c r="BI4" s="4" t="s">
        <v>20</v>
      </c>
    </row>
    <row r="5" spans="1:61" x14ac:dyDescent="0.3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5">
        <v>46300</v>
      </c>
      <c r="M5" s="5">
        <f t="shared" ref="M5:AR5" si="0">L5+1</f>
        <v>46301</v>
      </c>
      <c r="N5" s="5">
        <f t="shared" si="0"/>
        <v>46302</v>
      </c>
      <c r="O5" s="5">
        <f t="shared" si="0"/>
        <v>46303</v>
      </c>
      <c r="P5" s="5">
        <f t="shared" si="0"/>
        <v>46304</v>
      </c>
      <c r="Q5" s="5">
        <f t="shared" si="0"/>
        <v>46305</v>
      </c>
      <c r="R5" s="5">
        <f t="shared" si="0"/>
        <v>46306</v>
      </c>
      <c r="S5" s="5">
        <f t="shared" si="0"/>
        <v>46307</v>
      </c>
      <c r="T5" s="5">
        <f t="shared" si="0"/>
        <v>46308</v>
      </c>
      <c r="U5" s="5">
        <f t="shared" si="0"/>
        <v>46309</v>
      </c>
      <c r="V5" s="5">
        <f t="shared" si="0"/>
        <v>46310</v>
      </c>
      <c r="W5" s="5">
        <f t="shared" si="0"/>
        <v>46311</v>
      </c>
      <c r="X5" s="5">
        <f t="shared" si="0"/>
        <v>46312</v>
      </c>
      <c r="Y5" s="5">
        <f t="shared" si="0"/>
        <v>46313</v>
      </c>
      <c r="Z5" s="5">
        <f t="shared" si="0"/>
        <v>46314</v>
      </c>
      <c r="AA5" s="5">
        <f t="shared" si="0"/>
        <v>46315</v>
      </c>
      <c r="AB5" s="5">
        <f t="shared" si="0"/>
        <v>46316</v>
      </c>
      <c r="AC5" s="5">
        <f t="shared" si="0"/>
        <v>46317</v>
      </c>
      <c r="AD5" s="5">
        <f t="shared" si="0"/>
        <v>46318</v>
      </c>
      <c r="AE5" s="5">
        <f t="shared" si="0"/>
        <v>46319</v>
      </c>
      <c r="AF5" s="5">
        <f t="shared" si="0"/>
        <v>46320</v>
      </c>
      <c r="AG5" s="5">
        <f t="shared" si="0"/>
        <v>46321</v>
      </c>
      <c r="AH5" s="5">
        <f t="shared" si="0"/>
        <v>46322</v>
      </c>
      <c r="AI5" s="5">
        <f t="shared" si="0"/>
        <v>46323</v>
      </c>
      <c r="AJ5" s="5">
        <f t="shared" si="0"/>
        <v>46324</v>
      </c>
      <c r="AK5" s="5">
        <f t="shared" si="0"/>
        <v>46325</v>
      </c>
      <c r="AL5" s="5">
        <f t="shared" si="0"/>
        <v>46326</v>
      </c>
      <c r="AM5" s="5">
        <f t="shared" si="0"/>
        <v>46327</v>
      </c>
      <c r="AN5" s="5">
        <f t="shared" si="0"/>
        <v>46328</v>
      </c>
      <c r="AO5" s="5">
        <f t="shared" si="0"/>
        <v>46329</v>
      </c>
      <c r="AP5" s="5">
        <f t="shared" si="0"/>
        <v>46330</v>
      </c>
      <c r="AQ5" s="5">
        <f t="shared" si="0"/>
        <v>46331</v>
      </c>
      <c r="AR5" s="5">
        <f t="shared" si="0"/>
        <v>46332</v>
      </c>
      <c r="AS5" s="5">
        <f t="shared" ref="AS5:BI5" si="1">AR5+1</f>
        <v>46333</v>
      </c>
      <c r="AT5" s="5">
        <f t="shared" si="1"/>
        <v>46334</v>
      </c>
      <c r="AU5" s="5">
        <f t="shared" si="1"/>
        <v>46335</v>
      </c>
      <c r="AV5" s="5">
        <f t="shared" si="1"/>
        <v>46336</v>
      </c>
      <c r="AW5" s="5">
        <f t="shared" si="1"/>
        <v>46337</v>
      </c>
      <c r="AX5" s="5">
        <f t="shared" si="1"/>
        <v>46338</v>
      </c>
      <c r="AY5" s="5">
        <f t="shared" si="1"/>
        <v>46339</v>
      </c>
      <c r="AZ5" s="5">
        <f t="shared" si="1"/>
        <v>46340</v>
      </c>
      <c r="BA5" s="5">
        <f t="shared" si="1"/>
        <v>46341</v>
      </c>
      <c r="BB5" s="5">
        <f t="shared" si="1"/>
        <v>46342</v>
      </c>
      <c r="BC5" s="5">
        <f t="shared" si="1"/>
        <v>46343</v>
      </c>
      <c r="BD5" s="5">
        <f t="shared" si="1"/>
        <v>46344</v>
      </c>
      <c r="BE5" s="5">
        <f t="shared" si="1"/>
        <v>46345</v>
      </c>
      <c r="BF5" s="5">
        <f t="shared" si="1"/>
        <v>46346</v>
      </c>
      <c r="BG5" s="5">
        <f t="shared" si="1"/>
        <v>46347</v>
      </c>
      <c r="BH5" s="5">
        <f t="shared" si="1"/>
        <v>46348</v>
      </c>
      <c r="BI5" s="5">
        <f t="shared" si="1"/>
        <v>46349</v>
      </c>
    </row>
    <row r="6" spans="1:61" x14ac:dyDescent="0.3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6" t="s">
        <v>21</v>
      </c>
      <c r="M6" s="6" t="s">
        <v>22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21</v>
      </c>
      <c r="T6" s="6" t="s">
        <v>22</v>
      </c>
      <c r="U6" s="6" t="s">
        <v>22</v>
      </c>
      <c r="V6" s="6" t="s">
        <v>23</v>
      </c>
      <c r="W6" s="6" t="s">
        <v>24</v>
      </c>
      <c r="X6" s="6" t="s">
        <v>25</v>
      </c>
      <c r="Y6" s="6" t="s">
        <v>26</v>
      </c>
      <c r="Z6" s="6" t="s">
        <v>21</v>
      </c>
      <c r="AA6" s="6" t="s">
        <v>22</v>
      </c>
      <c r="AB6" s="6" t="s">
        <v>22</v>
      </c>
      <c r="AC6" s="6" t="s">
        <v>23</v>
      </c>
      <c r="AD6" s="6" t="s">
        <v>24</v>
      </c>
      <c r="AE6" s="6" t="s">
        <v>25</v>
      </c>
      <c r="AF6" s="6" t="s">
        <v>26</v>
      </c>
      <c r="AG6" s="6" t="s">
        <v>21</v>
      </c>
      <c r="AH6" s="6" t="s">
        <v>22</v>
      </c>
      <c r="AI6" s="6" t="s">
        <v>22</v>
      </c>
      <c r="AJ6" s="6" t="s">
        <v>23</v>
      </c>
      <c r="AK6" s="6" t="s">
        <v>24</v>
      </c>
      <c r="AL6" s="6" t="s">
        <v>25</v>
      </c>
      <c r="AM6" s="6" t="s">
        <v>26</v>
      </c>
      <c r="AN6" s="6" t="s">
        <v>21</v>
      </c>
      <c r="AO6" s="6" t="s">
        <v>22</v>
      </c>
      <c r="AP6" s="6" t="s">
        <v>22</v>
      </c>
      <c r="AQ6" s="6" t="s">
        <v>23</v>
      </c>
      <c r="AR6" s="6" t="s">
        <v>24</v>
      </c>
      <c r="AS6" s="6" t="s">
        <v>25</v>
      </c>
      <c r="AT6" s="6" t="s">
        <v>26</v>
      </c>
      <c r="AU6" s="6" t="s">
        <v>21</v>
      </c>
      <c r="AV6" s="6" t="s">
        <v>22</v>
      </c>
      <c r="AW6" s="6" t="s">
        <v>22</v>
      </c>
      <c r="AX6" s="6" t="s">
        <v>23</v>
      </c>
      <c r="AY6" s="6" t="s">
        <v>24</v>
      </c>
      <c r="AZ6" s="6" t="s">
        <v>25</v>
      </c>
      <c r="BA6" s="6" t="s">
        <v>26</v>
      </c>
      <c r="BB6" s="6" t="s">
        <v>21</v>
      </c>
      <c r="BC6" s="6" t="s">
        <v>22</v>
      </c>
      <c r="BD6" s="6" t="s">
        <v>22</v>
      </c>
      <c r="BE6" s="6" t="s">
        <v>23</v>
      </c>
      <c r="BF6" s="6" t="s">
        <v>24</v>
      </c>
      <c r="BG6" s="6" t="s">
        <v>25</v>
      </c>
      <c r="BH6" s="6" t="s">
        <v>26</v>
      </c>
      <c r="BI6" s="6" t="s">
        <v>21</v>
      </c>
    </row>
    <row r="7" spans="1:61" ht="30" customHeight="1" x14ac:dyDescent="0.3">
      <c r="A7" s="7" t="s">
        <v>27</v>
      </c>
      <c r="B7" s="8" t="s">
        <v>28</v>
      </c>
      <c r="C7" s="8" t="s">
        <v>29</v>
      </c>
      <c r="D7" s="8" t="s">
        <v>30</v>
      </c>
      <c r="E7" s="8" t="s">
        <v>7</v>
      </c>
      <c r="F7" s="9">
        <v>46300</v>
      </c>
      <c r="G7" s="9">
        <v>46304</v>
      </c>
      <c r="H7" s="7">
        <f t="shared" ref="H7:H23" si="2">G7-F7+1</f>
        <v>5</v>
      </c>
      <c r="I7" s="10">
        <v>1</v>
      </c>
      <c r="J7" s="7">
        <f t="shared" ref="J7:J23" si="3">H7-I7</f>
        <v>4</v>
      </c>
      <c r="K7" s="7" t="s">
        <v>31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</row>
    <row r="8" spans="1:61" ht="30" customHeight="1" x14ac:dyDescent="0.3">
      <c r="A8" s="7" t="s">
        <v>32</v>
      </c>
      <c r="B8" s="8" t="s">
        <v>33</v>
      </c>
      <c r="C8" s="8" t="s">
        <v>29</v>
      </c>
      <c r="D8" s="8" t="s">
        <v>34</v>
      </c>
      <c r="E8" s="8" t="s">
        <v>27</v>
      </c>
      <c r="F8" s="9">
        <v>46305</v>
      </c>
      <c r="G8" s="9">
        <v>46309</v>
      </c>
      <c r="H8" s="7">
        <f t="shared" si="2"/>
        <v>5</v>
      </c>
      <c r="I8" s="10">
        <v>1</v>
      </c>
      <c r="J8" s="7">
        <f t="shared" si="3"/>
        <v>4</v>
      </c>
      <c r="K8" s="7" t="s">
        <v>31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</row>
    <row r="9" spans="1:61" ht="30" customHeight="1" x14ac:dyDescent="0.3">
      <c r="A9" s="7" t="s">
        <v>35</v>
      </c>
      <c r="B9" s="8" t="s">
        <v>36</v>
      </c>
      <c r="C9" s="8" t="s">
        <v>29</v>
      </c>
      <c r="D9" s="8" t="s">
        <v>37</v>
      </c>
      <c r="E9" s="8" t="s">
        <v>27</v>
      </c>
      <c r="F9" s="9">
        <v>46307</v>
      </c>
      <c r="G9" s="9">
        <v>46311</v>
      </c>
      <c r="H9" s="7">
        <f t="shared" si="2"/>
        <v>5</v>
      </c>
      <c r="I9" s="10">
        <v>1</v>
      </c>
      <c r="J9" s="7">
        <f t="shared" si="3"/>
        <v>4</v>
      </c>
      <c r="K9" s="7" t="s">
        <v>31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</row>
    <row r="10" spans="1:61" ht="30" customHeight="1" x14ac:dyDescent="0.3">
      <c r="A10" s="7" t="s">
        <v>38</v>
      </c>
      <c r="B10" s="8" t="s">
        <v>39</v>
      </c>
      <c r="C10" s="8" t="s">
        <v>40</v>
      </c>
      <c r="D10" s="8" t="s">
        <v>41</v>
      </c>
      <c r="E10" s="8" t="s">
        <v>27</v>
      </c>
      <c r="F10" s="9">
        <v>46307</v>
      </c>
      <c r="G10" s="9">
        <v>46313</v>
      </c>
      <c r="H10" s="7">
        <f t="shared" si="2"/>
        <v>7</v>
      </c>
      <c r="I10" s="10">
        <v>2</v>
      </c>
      <c r="J10" s="7">
        <f t="shared" si="3"/>
        <v>5</v>
      </c>
      <c r="K10" s="7" t="s">
        <v>31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</row>
    <row r="11" spans="1:61" ht="30" customHeight="1" x14ac:dyDescent="0.3">
      <c r="A11" s="7" t="s">
        <v>42</v>
      </c>
      <c r="B11" s="8" t="s">
        <v>43</v>
      </c>
      <c r="C11" s="8" t="s">
        <v>40</v>
      </c>
      <c r="D11" s="8" t="s">
        <v>34</v>
      </c>
      <c r="E11" s="8" t="s">
        <v>44</v>
      </c>
      <c r="F11" s="9">
        <v>46314</v>
      </c>
      <c r="G11" s="9">
        <v>46318</v>
      </c>
      <c r="H11" s="7">
        <f t="shared" si="2"/>
        <v>5</v>
      </c>
      <c r="I11" s="10">
        <v>1</v>
      </c>
      <c r="J11" s="7">
        <f t="shared" si="3"/>
        <v>4</v>
      </c>
      <c r="K11" s="7" t="s">
        <v>45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</row>
    <row r="12" spans="1:61" ht="30" customHeight="1" x14ac:dyDescent="0.3">
      <c r="A12" s="7" t="s">
        <v>46</v>
      </c>
      <c r="B12" s="8" t="s">
        <v>47</v>
      </c>
      <c r="C12" s="8" t="s">
        <v>40</v>
      </c>
      <c r="D12" s="8" t="s">
        <v>41</v>
      </c>
      <c r="E12" s="8" t="s">
        <v>48</v>
      </c>
      <c r="F12" s="9">
        <v>46317</v>
      </c>
      <c r="G12" s="9">
        <v>46326</v>
      </c>
      <c r="H12" s="7">
        <f t="shared" si="2"/>
        <v>10</v>
      </c>
      <c r="I12" s="10">
        <v>2</v>
      </c>
      <c r="J12" s="7">
        <f t="shared" si="3"/>
        <v>8</v>
      </c>
      <c r="K12" s="7" t="s">
        <v>45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</row>
    <row r="13" spans="1:61" ht="30" customHeight="1" x14ac:dyDescent="0.3">
      <c r="A13" s="7" t="s">
        <v>49</v>
      </c>
      <c r="B13" s="8" t="s">
        <v>50</v>
      </c>
      <c r="C13" s="8" t="s">
        <v>40</v>
      </c>
      <c r="D13" s="8" t="s">
        <v>51</v>
      </c>
      <c r="E13" s="8" t="s">
        <v>52</v>
      </c>
      <c r="F13" s="9">
        <v>46321</v>
      </c>
      <c r="G13" s="9">
        <v>46329</v>
      </c>
      <c r="H13" s="7">
        <f t="shared" si="2"/>
        <v>9</v>
      </c>
      <c r="I13" s="10">
        <v>2</v>
      </c>
      <c r="J13" s="7">
        <f t="shared" si="3"/>
        <v>7</v>
      </c>
      <c r="K13" s="7" t="s">
        <v>45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</row>
    <row r="14" spans="1:61" ht="30" customHeight="1" x14ac:dyDescent="0.3">
      <c r="A14" s="7" t="s">
        <v>53</v>
      </c>
      <c r="B14" s="8" t="s">
        <v>54</v>
      </c>
      <c r="C14" s="8" t="s">
        <v>40</v>
      </c>
      <c r="D14" s="8" t="s">
        <v>37</v>
      </c>
      <c r="E14" s="8" t="s">
        <v>55</v>
      </c>
      <c r="F14" s="9">
        <v>46323</v>
      </c>
      <c r="G14" s="9">
        <v>46327</v>
      </c>
      <c r="H14" s="7">
        <f t="shared" si="2"/>
        <v>5</v>
      </c>
      <c r="I14" s="10">
        <v>1</v>
      </c>
      <c r="J14" s="7">
        <f t="shared" si="3"/>
        <v>4</v>
      </c>
      <c r="K14" s="7" t="s">
        <v>31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</row>
    <row r="15" spans="1:61" ht="30" customHeight="1" x14ac:dyDescent="0.3">
      <c r="A15" s="7" t="s">
        <v>56</v>
      </c>
      <c r="B15" s="8" t="s">
        <v>57</v>
      </c>
      <c r="C15" s="8" t="s">
        <v>58</v>
      </c>
      <c r="D15" s="8" t="s">
        <v>51</v>
      </c>
      <c r="E15" s="8" t="s">
        <v>49</v>
      </c>
      <c r="F15" s="9">
        <v>46330</v>
      </c>
      <c r="G15" s="9">
        <v>46335</v>
      </c>
      <c r="H15" s="7">
        <f t="shared" si="2"/>
        <v>6</v>
      </c>
      <c r="I15" s="10">
        <v>1</v>
      </c>
      <c r="J15" s="7">
        <f t="shared" si="3"/>
        <v>5</v>
      </c>
      <c r="K15" s="7" t="s">
        <v>45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</row>
    <row r="16" spans="1:61" ht="30" customHeight="1" x14ac:dyDescent="0.3">
      <c r="A16" s="7" t="s">
        <v>59</v>
      </c>
      <c r="B16" s="8" t="s">
        <v>60</v>
      </c>
      <c r="C16" s="8" t="s">
        <v>58</v>
      </c>
      <c r="D16" s="8" t="s">
        <v>51</v>
      </c>
      <c r="E16" s="8" t="s">
        <v>61</v>
      </c>
      <c r="F16" s="9">
        <v>46336</v>
      </c>
      <c r="G16" s="9">
        <v>46339</v>
      </c>
      <c r="H16" s="7">
        <f t="shared" si="2"/>
        <v>4</v>
      </c>
      <c r="I16" s="10">
        <v>1</v>
      </c>
      <c r="J16" s="7">
        <f t="shared" si="3"/>
        <v>3</v>
      </c>
      <c r="K16" s="7" t="s">
        <v>45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</row>
    <row r="17" spans="1:61" ht="30" customHeight="1" x14ac:dyDescent="0.3">
      <c r="A17" s="7" t="s">
        <v>62</v>
      </c>
      <c r="B17" s="8" t="s">
        <v>63</v>
      </c>
      <c r="C17" s="8" t="s">
        <v>58</v>
      </c>
      <c r="D17" s="8" t="s">
        <v>30</v>
      </c>
      <c r="E17" s="8" t="s">
        <v>59</v>
      </c>
      <c r="F17" s="9">
        <v>46340</v>
      </c>
      <c r="G17" s="9">
        <v>46343</v>
      </c>
      <c r="H17" s="7">
        <f t="shared" si="2"/>
        <v>4</v>
      </c>
      <c r="I17" s="10">
        <v>1</v>
      </c>
      <c r="J17" s="7">
        <f t="shared" si="3"/>
        <v>3</v>
      </c>
      <c r="K17" s="7" t="s">
        <v>45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</row>
    <row r="18" spans="1:61" ht="30" customHeight="1" x14ac:dyDescent="0.3">
      <c r="A18" s="7" t="s">
        <v>64</v>
      </c>
      <c r="B18" s="8" t="s">
        <v>65</v>
      </c>
      <c r="C18" s="8" t="s">
        <v>66</v>
      </c>
      <c r="D18" s="8" t="s">
        <v>34</v>
      </c>
      <c r="E18" s="8" t="s">
        <v>67</v>
      </c>
      <c r="F18" s="9">
        <v>46330</v>
      </c>
      <c r="G18" s="9">
        <v>46346</v>
      </c>
      <c r="H18" s="7">
        <f t="shared" si="2"/>
        <v>17</v>
      </c>
      <c r="I18" s="10">
        <v>3</v>
      </c>
      <c r="J18" s="7">
        <f t="shared" si="3"/>
        <v>14</v>
      </c>
      <c r="K18" s="7" t="s">
        <v>31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</row>
    <row r="19" spans="1:61" ht="30" customHeight="1" x14ac:dyDescent="0.3">
      <c r="A19" s="7" t="s">
        <v>68</v>
      </c>
      <c r="B19" s="8" t="s">
        <v>69</v>
      </c>
      <c r="C19" s="8" t="s">
        <v>66</v>
      </c>
      <c r="D19" s="8" t="s">
        <v>70</v>
      </c>
      <c r="E19" s="8" t="s">
        <v>71</v>
      </c>
      <c r="F19" s="9">
        <v>46330</v>
      </c>
      <c r="G19" s="9">
        <v>46341</v>
      </c>
      <c r="H19" s="7">
        <f t="shared" si="2"/>
        <v>12</v>
      </c>
      <c r="I19" s="10">
        <v>2</v>
      </c>
      <c r="J19" s="7">
        <f t="shared" si="3"/>
        <v>10</v>
      </c>
      <c r="K19" s="7" t="s">
        <v>31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</row>
    <row r="20" spans="1:61" ht="30" customHeight="1" x14ac:dyDescent="0.3">
      <c r="A20" s="7" t="s">
        <v>72</v>
      </c>
      <c r="B20" s="8" t="s">
        <v>73</v>
      </c>
      <c r="C20" s="8" t="s">
        <v>66</v>
      </c>
      <c r="D20" s="8" t="s">
        <v>70</v>
      </c>
      <c r="E20" s="8" t="s">
        <v>74</v>
      </c>
      <c r="F20" s="9">
        <v>46338</v>
      </c>
      <c r="G20" s="9">
        <v>46347</v>
      </c>
      <c r="H20" s="7">
        <f t="shared" si="2"/>
        <v>10</v>
      </c>
      <c r="I20" s="10">
        <v>2</v>
      </c>
      <c r="J20" s="7">
        <f t="shared" si="3"/>
        <v>8</v>
      </c>
      <c r="K20" s="7" t="s">
        <v>31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</row>
    <row r="21" spans="1:61" ht="30" customHeight="1" x14ac:dyDescent="0.3">
      <c r="A21" s="7" t="s">
        <v>75</v>
      </c>
      <c r="B21" s="8" t="s">
        <v>76</v>
      </c>
      <c r="C21" s="8" t="s">
        <v>66</v>
      </c>
      <c r="D21" s="8" t="s">
        <v>37</v>
      </c>
      <c r="E21" s="8" t="s">
        <v>77</v>
      </c>
      <c r="F21" s="9">
        <v>46330</v>
      </c>
      <c r="G21" s="9">
        <v>46347</v>
      </c>
      <c r="H21" s="7">
        <f t="shared" si="2"/>
        <v>18</v>
      </c>
      <c r="I21" s="10">
        <v>3</v>
      </c>
      <c r="J21" s="7">
        <f t="shared" si="3"/>
        <v>15</v>
      </c>
      <c r="K21" s="7" t="s">
        <v>31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</row>
    <row r="22" spans="1:61" ht="30" customHeight="1" x14ac:dyDescent="0.3">
      <c r="A22" s="7" t="s">
        <v>78</v>
      </c>
      <c r="B22" s="8" t="s">
        <v>79</v>
      </c>
      <c r="C22" s="8" t="s">
        <v>66</v>
      </c>
      <c r="D22" s="8" t="s">
        <v>41</v>
      </c>
      <c r="E22" s="8" t="s">
        <v>80</v>
      </c>
      <c r="F22" s="9">
        <v>46344</v>
      </c>
      <c r="G22" s="9">
        <v>46348</v>
      </c>
      <c r="H22" s="7">
        <f t="shared" si="2"/>
        <v>5</v>
      </c>
      <c r="I22" s="10">
        <v>1</v>
      </c>
      <c r="J22" s="7">
        <f t="shared" si="3"/>
        <v>4</v>
      </c>
      <c r="K22" s="7" t="s">
        <v>45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</row>
    <row r="23" spans="1:61" ht="30" customHeight="1" x14ac:dyDescent="0.3">
      <c r="A23" s="7" t="s">
        <v>81</v>
      </c>
      <c r="B23" s="8" t="s">
        <v>82</v>
      </c>
      <c r="C23" s="8" t="s">
        <v>83</v>
      </c>
      <c r="D23" s="8" t="s">
        <v>30</v>
      </c>
      <c r="E23" s="8" t="s">
        <v>84</v>
      </c>
      <c r="F23" s="9">
        <v>46300</v>
      </c>
      <c r="G23" s="9">
        <v>46349</v>
      </c>
      <c r="H23" s="7">
        <f t="shared" si="2"/>
        <v>50</v>
      </c>
      <c r="I23" s="10">
        <v>0</v>
      </c>
      <c r="J23" s="7">
        <f t="shared" si="3"/>
        <v>50</v>
      </c>
      <c r="K23" s="7" t="s">
        <v>31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</row>
    <row r="24" spans="1:61" ht="30" customHeight="1" x14ac:dyDescent="0.3">
      <c r="A24" s="12" t="s">
        <v>85</v>
      </c>
      <c r="B24" s="13" t="s">
        <v>86</v>
      </c>
      <c r="C24" s="13" t="s">
        <v>87</v>
      </c>
      <c r="D24" s="13" t="s">
        <v>88</v>
      </c>
      <c r="E24" s="13" t="s">
        <v>53</v>
      </c>
      <c r="F24" s="14">
        <v>46328</v>
      </c>
      <c r="G24" s="15">
        <f>F24</f>
        <v>46328</v>
      </c>
      <c r="H24" s="12" t="s">
        <v>87</v>
      </c>
      <c r="I24" s="12"/>
      <c r="J24" s="12"/>
      <c r="K24" s="12" t="s">
        <v>87</v>
      </c>
      <c r="L24" s="16" t="str">
        <f t="shared" ref="L24:U25" si="4">IF(L$5=$F24,"◆","")</f>
        <v/>
      </c>
      <c r="M24" s="16" t="str">
        <f t="shared" si="4"/>
        <v/>
      </c>
      <c r="N24" s="16" t="str">
        <f t="shared" si="4"/>
        <v/>
      </c>
      <c r="O24" s="16" t="str">
        <f t="shared" si="4"/>
        <v/>
      </c>
      <c r="P24" s="16" t="str">
        <f t="shared" si="4"/>
        <v/>
      </c>
      <c r="Q24" s="16" t="str">
        <f t="shared" si="4"/>
        <v/>
      </c>
      <c r="R24" s="16" t="str">
        <f t="shared" si="4"/>
        <v/>
      </c>
      <c r="S24" s="16" t="str">
        <f t="shared" si="4"/>
        <v/>
      </c>
      <c r="T24" s="16" t="str">
        <f t="shared" si="4"/>
        <v/>
      </c>
      <c r="U24" s="16" t="str">
        <f t="shared" si="4"/>
        <v/>
      </c>
      <c r="V24" s="16" t="str">
        <f t="shared" ref="V24:AE25" si="5">IF(V$5=$F24,"◆","")</f>
        <v/>
      </c>
      <c r="W24" s="16" t="str">
        <f t="shared" si="5"/>
        <v/>
      </c>
      <c r="X24" s="16" t="str">
        <f t="shared" si="5"/>
        <v/>
      </c>
      <c r="Y24" s="16" t="str">
        <f t="shared" si="5"/>
        <v/>
      </c>
      <c r="Z24" s="16" t="str">
        <f t="shared" si="5"/>
        <v/>
      </c>
      <c r="AA24" s="16" t="str">
        <f t="shared" si="5"/>
        <v/>
      </c>
      <c r="AB24" s="16" t="str">
        <f t="shared" si="5"/>
        <v/>
      </c>
      <c r="AC24" s="16" t="str">
        <f t="shared" si="5"/>
        <v/>
      </c>
      <c r="AD24" s="16" t="str">
        <f t="shared" si="5"/>
        <v/>
      </c>
      <c r="AE24" s="16" t="str">
        <f t="shared" si="5"/>
        <v/>
      </c>
      <c r="AF24" s="16" t="str">
        <f t="shared" ref="AF24:AO25" si="6">IF(AF$5=$F24,"◆","")</f>
        <v/>
      </c>
      <c r="AG24" s="16" t="str">
        <f t="shared" si="6"/>
        <v/>
      </c>
      <c r="AH24" s="16" t="str">
        <f t="shared" si="6"/>
        <v/>
      </c>
      <c r="AI24" s="16" t="str">
        <f t="shared" si="6"/>
        <v/>
      </c>
      <c r="AJ24" s="16" t="str">
        <f t="shared" si="6"/>
        <v/>
      </c>
      <c r="AK24" s="16" t="str">
        <f t="shared" si="6"/>
        <v/>
      </c>
      <c r="AL24" s="16" t="str">
        <f t="shared" si="6"/>
        <v/>
      </c>
      <c r="AM24" s="16" t="str">
        <f t="shared" si="6"/>
        <v/>
      </c>
      <c r="AN24" s="16" t="str">
        <f t="shared" si="6"/>
        <v>◆</v>
      </c>
      <c r="AO24" s="16" t="str">
        <f t="shared" si="6"/>
        <v/>
      </c>
      <c r="AP24" s="16" t="str">
        <f t="shared" ref="AP24:AY25" si="7">IF(AP$5=$F24,"◆","")</f>
        <v/>
      </c>
      <c r="AQ24" s="16" t="str">
        <f t="shared" si="7"/>
        <v/>
      </c>
      <c r="AR24" s="16" t="str">
        <f t="shared" si="7"/>
        <v/>
      </c>
      <c r="AS24" s="16" t="str">
        <f t="shared" si="7"/>
        <v/>
      </c>
      <c r="AT24" s="16" t="str">
        <f t="shared" si="7"/>
        <v/>
      </c>
      <c r="AU24" s="16" t="str">
        <f t="shared" si="7"/>
        <v/>
      </c>
      <c r="AV24" s="16" t="str">
        <f t="shared" si="7"/>
        <v/>
      </c>
      <c r="AW24" s="16" t="str">
        <f t="shared" si="7"/>
        <v/>
      </c>
      <c r="AX24" s="16" t="str">
        <f t="shared" si="7"/>
        <v/>
      </c>
      <c r="AY24" s="16" t="str">
        <f t="shared" si="7"/>
        <v/>
      </c>
      <c r="AZ24" s="16" t="str">
        <f t="shared" ref="AZ24:BI25" si="8">IF(AZ$5=$F24,"◆","")</f>
        <v/>
      </c>
      <c r="BA24" s="16" t="str">
        <f t="shared" si="8"/>
        <v/>
      </c>
      <c r="BB24" s="16" t="str">
        <f t="shared" si="8"/>
        <v/>
      </c>
      <c r="BC24" s="16" t="str">
        <f t="shared" si="8"/>
        <v/>
      </c>
      <c r="BD24" s="16" t="str">
        <f t="shared" si="8"/>
        <v/>
      </c>
      <c r="BE24" s="16" t="str">
        <f t="shared" si="8"/>
        <v/>
      </c>
      <c r="BF24" s="16" t="str">
        <f t="shared" si="8"/>
        <v/>
      </c>
      <c r="BG24" s="16" t="str">
        <f t="shared" si="8"/>
        <v/>
      </c>
      <c r="BH24" s="16" t="str">
        <f t="shared" si="8"/>
        <v/>
      </c>
      <c r="BI24" s="16" t="str">
        <f t="shared" si="8"/>
        <v/>
      </c>
    </row>
    <row r="25" spans="1:61" ht="30" customHeight="1" x14ac:dyDescent="0.3">
      <c r="A25" s="12" t="s">
        <v>89</v>
      </c>
      <c r="B25" s="13" t="s">
        <v>90</v>
      </c>
      <c r="C25" s="13" t="s">
        <v>87</v>
      </c>
      <c r="D25" s="13" t="s">
        <v>88</v>
      </c>
      <c r="E25" s="13" t="s">
        <v>78</v>
      </c>
      <c r="F25" s="14">
        <v>46349</v>
      </c>
      <c r="G25" s="15">
        <f>F25</f>
        <v>46349</v>
      </c>
      <c r="H25" s="12" t="s">
        <v>87</v>
      </c>
      <c r="I25" s="12"/>
      <c r="J25" s="12"/>
      <c r="K25" s="12" t="s">
        <v>87</v>
      </c>
      <c r="L25" s="16" t="str">
        <f t="shared" si="4"/>
        <v/>
      </c>
      <c r="M25" s="16" t="str">
        <f t="shared" si="4"/>
        <v/>
      </c>
      <c r="N25" s="16" t="str">
        <f t="shared" si="4"/>
        <v/>
      </c>
      <c r="O25" s="16" t="str">
        <f t="shared" si="4"/>
        <v/>
      </c>
      <c r="P25" s="16" t="str">
        <f t="shared" si="4"/>
        <v/>
      </c>
      <c r="Q25" s="16" t="str">
        <f t="shared" si="4"/>
        <v/>
      </c>
      <c r="R25" s="16" t="str">
        <f t="shared" si="4"/>
        <v/>
      </c>
      <c r="S25" s="16" t="str">
        <f t="shared" si="4"/>
        <v/>
      </c>
      <c r="T25" s="16" t="str">
        <f t="shared" si="4"/>
        <v/>
      </c>
      <c r="U25" s="16" t="str">
        <f t="shared" si="4"/>
        <v/>
      </c>
      <c r="V25" s="16" t="str">
        <f t="shared" si="5"/>
        <v/>
      </c>
      <c r="W25" s="16" t="str">
        <f t="shared" si="5"/>
        <v/>
      </c>
      <c r="X25" s="16" t="str">
        <f t="shared" si="5"/>
        <v/>
      </c>
      <c r="Y25" s="16" t="str">
        <f t="shared" si="5"/>
        <v/>
      </c>
      <c r="Z25" s="16" t="str">
        <f t="shared" si="5"/>
        <v/>
      </c>
      <c r="AA25" s="16" t="str">
        <f t="shared" si="5"/>
        <v/>
      </c>
      <c r="AB25" s="16" t="str">
        <f t="shared" si="5"/>
        <v/>
      </c>
      <c r="AC25" s="16" t="str">
        <f t="shared" si="5"/>
        <v/>
      </c>
      <c r="AD25" s="16" t="str">
        <f t="shared" si="5"/>
        <v/>
      </c>
      <c r="AE25" s="16" t="str">
        <f t="shared" si="5"/>
        <v/>
      </c>
      <c r="AF25" s="16" t="str">
        <f t="shared" si="6"/>
        <v/>
      </c>
      <c r="AG25" s="16" t="str">
        <f t="shared" si="6"/>
        <v/>
      </c>
      <c r="AH25" s="16" t="str">
        <f t="shared" si="6"/>
        <v/>
      </c>
      <c r="AI25" s="16" t="str">
        <f t="shared" si="6"/>
        <v/>
      </c>
      <c r="AJ25" s="16" t="str">
        <f t="shared" si="6"/>
        <v/>
      </c>
      <c r="AK25" s="16" t="str">
        <f t="shared" si="6"/>
        <v/>
      </c>
      <c r="AL25" s="16" t="str">
        <f t="shared" si="6"/>
        <v/>
      </c>
      <c r="AM25" s="16" t="str">
        <f t="shared" si="6"/>
        <v/>
      </c>
      <c r="AN25" s="16" t="str">
        <f t="shared" si="6"/>
        <v/>
      </c>
      <c r="AO25" s="16" t="str">
        <f t="shared" si="6"/>
        <v/>
      </c>
      <c r="AP25" s="16" t="str">
        <f t="shared" si="7"/>
        <v/>
      </c>
      <c r="AQ25" s="16" t="str">
        <f t="shared" si="7"/>
        <v/>
      </c>
      <c r="AR25" s="16" t="str">
        <f t="shared" si="7"/>
        <v/>
      </c>
      <c r="AS25" s="16" t="str">
        <f t="shared" si="7"/>
        <v/>
      </c>
      <c r="AT25" s="16" t="str">
        <f t="shared" si="7"/>
        <v/>
      </c>
      <c r="AU25" s="16" t="str">
        <f t="shared" si="7"/>
        <v/>
      </c>
      <c r="AV25" s="16" t="str">
        <f t="shared" si="7"/>
        <v/>
      </c>
      <c r="AW25" s="16" t="str">
        <f t="shared" si="7"/>
        <v/>
      </c>
      <c r="AX25" s="16" t="str">
        <f t="shared" si="7"/>
        <v/>
      </c>
      <c r="AY25" s="16" t="str">
        <f t="shared" si="7"/>
        <v/>
      </c>
      <c r="AZ25" s="16" t="str">
        <f t="shared" si="8"/>
        <v/>
      </c>
      <c r="BA25" s="16" t="str">
        <f t="shared" si="8"/>
        <v/>
      </c>
      <c r="BB25" s="16" t="str">
        <f t="shared" si="8"/>
        <v/>
      </c>
      <c r="BC25" s="16" t="str">
        <f t="shared" si="8"/>
        <v/>
      </c>
      <c r="BD25" s="16" t="str">
        <f t="shared" si="8"/>
        <v/>
      </c>
      <c r="BE25" s="16" t="str">
        <f t="shared" si="8"/>
        <v/>
      </c>
      <c r="BF25" s="16" t="str">
        <f t="shared" si="8"/>
        <v/>
      </c>
      <c r="BG25" s="16" t="str">
        <f t="shared" si="8"/>
        <v/>
      </c>
      <c r="BH25" s="16" t="str">
        <f t="shared" si="8"/>
        <v/>
      </c>
      <c r="BI25" s="16" t="str">
        <f t="shared" si="8"/>
        <v>◆</v>
      </c>
    </row>
    <row r="27" spans="1:61" x14ac:dyDescent="0.3">
      <c r="A27" s="17" t="s">
        <v>91</v>
      </c>
    </row>
    <row r="28" spans="1:61" x14ac:dyDescent="0.3">
      <c r="B28" s="18" t="s">
        <v>92</v>
      </c>
      <c r="C28" s="19">
        <v>46307</v>
      </c>
    </row>
    <row r="29" spans="1:61" x14ac:dyDescent="0.3">
      <c r="B29" s="18" t="s">
        <v>93</v>
      </c>
      <c r="C29" s="19">
        <v>46321</v>
      </c>
    </row>
    <row r="31" spans="1:61" x14ac:dyDescent="0.3">
      <c r="B31" s="20" t="s">
        <v>94</v>
      </c>
      <c r="C31" s="20" t="s">
        <v>95</v>
      </c>
    </row>
    <row r="32" spans="1:61" x14ac:dyDescent="0.3">
      <c r="B32" s="21"/>
      <c r="C32" s="18" t="s">
        <v>96</v>
      </c>
    </row>
    <row r="33" spans="2:10" x14ac:dyDescent="0.3">
      <c r="B33" s="22"/>
      <c r="C33" s="18" t="s">
        <v>97</v>
      </c>
    </row>
    <row r="34" spans="2:10" x14ac:dyDescent="0.3">
      <c r="B34" s="23"/>
      <c r="C34" s="18" t="s">
        <v>98</v>
      </c>
    </row>
    <row r="35" spans="2:10" x14ac:dyDescent="0.3">
      <c r="B35" s="24"/>
      <c r="C35" s="18" t="s">
        <v>99</v>
      </c>
    </row>
    <row r="36" spans="2:10" x14ac:dyDescent="0.3">
      <c r="B36" s="25"/>
      <c r="C36" s="18" t="s">
        <v>100</v>
      </c>
    </row>
    <row r="37" spans="2:10" x14ac:dyDescent="0.3">
      <c r="B37" s="26" t="s">
        <v>101</v>
      </c>
      <c r="C37" s="18" t="s">
        <v>102</v>
      </c>
    </row>
    <row r="39" spans="2:10" ht="25.95" customHeight="1" x14ac:dyDescent="0.3">
      <c r="B39" s="37" t="s">
        <v>103</v>
      </c>
      <c r="C39" s="38"/>
      <c r="D39" s="38"/>
      <c r="E39" s="38"/>
      <c r="F39" s="38"/>
      <c r="G39" s="38"/>
      <c r="H39" s="38"/>
      <c r="I39" s="38"/>
      <c r="J39" s="38"/>
    </row>
    <row r="40" spans="2:10" ht="25.95" customHeight="1" x14ac:dyDescent="0.3">
      <c r="B40" s="37" t="s">
        <v>104</v>
      </c>
      <c r="C40" s="38"/>
      <c r="D40" s="38"/>
      <c r="E40" s="38"/>
      <c r="F40" s="38"/>
      <c r="G40" s="38"/>
      <c r="H40" s="38"/>
      <c r="I40" s="38"/>
      <c r="J40" s="38"/>
    </row>
    <row r="41" spans="2:10" ht="25.95" customHeight="1" x14ac:dyDescent="0.3">
      <c r="B41" s="37" t="s">
        <v>105</v>
      </c>
      <c r="C41" s="38"/>
      <c r="D41" s="38"/>
      <c r="E41" s="38"/>
      <c r="F41" s="38"/>
      <c r="G41" s="38"/>
      <c r="H41" s="38"/>
      <c r="I41" s="38"/>
      <c r="J41" s="38"/>
    </row>
    <row r="42" spans="2:10" ht="25.95" customHeight="1" x14ac:dyDescent="0.3">
      <c r="B42" s="37" t="s">
        <v>106</v>
      </c>
      <c r="C42" s="38"/>
      <c r="D42" s="38"/>
      <c r="E42" s="38"/>
      <c r="F42" s="38"/>
      <c r="G42" s="38"/>
      <c r="H42" s="38"/>
      <c r="I42" s="38"/>
      <c r="J42" s="38"/>
    </row>
    <row r="43" spans="2:10" ht="25.95" customHeight="1" x14ac:dyDescent="0.3">
      <c r="B43" s="37" t="s">
        <v>107</v>
      </c>
      <c r="C43" s="38"/>
      <c r="D43" s="38"/>
      <c r="E43" s="38"/>
      <c r="F43" s="38"/>
      <c r="G43" s="38"/>
      <c r="H43" s="38"/>
      <c r="I43" s="38"/>
      <c r="J43" s="38"/>
    </row>
  </sheetData>
  <mergeCells count="23">
    <mergeCell ref="BB4:BH4"/>
    <mergeCell ref="B43:J43"/>
    <mergeCell ref="B39:J39"/>
    <mergeCell ref="AU4:BA4"/>
    <mergeCell ref="E4:E6"/>
    <mergeCell ref="B41:J41"/>
    <mergeCell ref="AN4:AT4"/>
    <mergeCell ref="C4:C6"/>
    <mergeCell ref="L4:R4"/>
    <mergeCell ref="A4:A6"/>
    <mergeCell ref="B4:B6"/>
    <mergeCell ref="S4:Y4"/>
    <mergeCell ref="AG4:AM4"/>
    <mergeCell ref="B40:J40"/>
    <mergeCell ref="F4:F6"/>
    <mergeCell ref="H4:H6"/>
    <mergeCell ref="D4:D6"/>
    <mergeCell ref="J4:J6"/>
    <mergeCell ref="B42:J42"/>
    <mergeCell ref="Z4:AF4"/>
    <mergeCell ref="I4:I6"/>
    <mergeCell ref="G4:G6"/>
    <mergeCell ref="K4:K6"/>
  </mergeCells>
  <conditionalFormatting sqref="L7:BI23">
    <cfRule type="expression" dxfId="9" priority="1" stopIfTrue="1">
      <formula>AND(L$5&gt;$G7-$I7,L$5&lt;=$G7,$I7&gt;0)</formula>
    </cfRule>
    <cfRule type="expression" dxfId="8" priority="2" stopIfTrue="1">
      <formula>AND(L$5&gt;=$F7,L$5&lt;=$G7,$K7="Sí")</formula>
    </cfRule>
    <cfRule type="expression" dxfId="7" priority="3" stopIfTrue="1">
      <formula>AND(L$5&gt;=$F7,L$5&lt;=$G7)</formula>
    </cfRule>
  </conditionalFormatting>
  <conditionalFormatting sqref="L7:BI25">
    <cfRule type="expression" dxfId="6" priority="4" stopIfTrue="1">
      <formula>OR(L$5=$C$28,L$5=$C$29)</formula>
    </cfRule>
    <cfRule type="expression" dxfId="5" priority="5">
      <formula>WEEKDAY(L$5,2)&gt;5</formula>
    </cfRule>
  </conditionalFormatting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6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6" customWidth="1"/>
    <col min="2" max="2" width="42" customWidth="1"/>
    <col min="3" max="3" width="26" customWidth="1"/>
    <col min="4" max="9" width="13" customWidth="1"/>
    <col min="10" max="10" width="16" customWidth="1"/>
  </cols>
  <sheetData>
    <row r="1" spans="1:10" ht="17.399999999999999" x14ac:dyDescent="0.3">
      <c r="A1" s="1" t="s">
        <v>108</v>
      </c>
    </row>
    <row r="2" spans="1:10" x14ac:dyDescent="0.3">
      <c r="A2" s="2" t="s">
        <v>109</v>
      </c>
    </row>
    <row r="4" spans="1:10" ht="31.95" customHeight="1" x14ac:dyDescent="0.3">
      <c r="A4" s="3" t="s">
        <v>2</v>
      </c>
      <c r="B4" s="3" t="s">
        <v>3</v>
      </c>
      <c r="C4" s="3" t="s">
        <v>4</v>
      </c>
      <c r="D4" s="3" t="s">
        <v>30</v>
      </c>
      <c r="E4" s="3" t="s">
        <v>34</v>
      </c>
      <c r="F4" s="3" t="s">
        <v>41</v>
      </c>
      <c r="G4" s="3" t="s">
        <v>51</v>
      </c>
      <c r="H4" s="3" t="s">
        <v>70</v>
      </c>
      <c r="I4" s="3" t="s">
        <v>37</v>
      </c>
      <c r="J4" s="3" t="s">
        <v>110</v>
      </c>
    </row>
    <row r="5" spans="1:10" x14ac:dyDescent="0.3">
      <c r="A5" s="7" t="s">
        <v>27</v>
      </c>
      <c r="B5" s="8" t="s">
        <v>28</v>
      </c>
      <c r="C5" s="8" t="s">
        <v>29</v>
      </c>
      <c r="D5" s="10" t="s">
        <v>111</v>
      </c>
      <c r="E5" s="10" t="s">
        <v>112</v>
      </c>
      <c r="F5" s="10" t="s">
        <v>112</v>
      </c>
      <c r="G5" s="10" t="s">
        <v>112</v>
      </c>
      <c r="H5" s="10" t="s">
        <v>112</v>
      </c>
      <c r="I5" s="10" t="s">
        <v>112</v>
      </c>
      <c r="J5" s="7" t="str">
        <f t="shared" ref="J5:J21" si="0">IF(COUNTIF(D5:I5,"*A*")=1,"OK","Revisar")</f>
        <v>OK</v>
      </c>
    </row>
    <row r="6" spans="1:10" x14ac:dyDescent="0.3">
      <c r="A6" s="7" t="s">
        <v>32</v>
      </c>
      <c r="B6" s="8" t="s">
        <v>33</v>
      </c>
      <c r="C6" s="8" t="s">
        <v>29</v>
      </c>
      <c r="D6" s="10" t="s">
        <v>112</v>
      </c>
      <c r="E6" s="10" t="s">
        <v>111</v>
      </c>
      <c r="F6" s="10" t="s">
        <v>113</v>
      </c>
      <c r="G6" s="10" t="s">
        <v>113</v>
      </c>
      <c r="H6" s="10" t="s">
        <v>113</v>
      </c>
      <c r="I6" s="10" t="s">
        <v>113</v>
      </c>
      <c r="J6" s="7" t="str">
        <f t="shared" si="0"/>
        <v>OK</v>
      </c>
    </row>
    <row r="7" spans="1:10" ht="26.4" x14ac:dyDescent="0.3">
      <c r="A7" s="7" t="s">
        <v>35</v>
      </c>
      <c r="B7" s="8" t="s">
        <v>36</v>
      </c>
      <c r="C7" s="8" t="s">
        <v>29</v>
      </c>
      <c r="D7" s="10" t="s">
        <v>113</v>
      </c>
      <c r="E7" s="10" t="s">
        <v>112</v>
      </c>
      <c r="F7" s="10" t="s">
        <v>113</v>
      </c>
      <c r="G7" s="10" t="s">
        <v>113</v>
      </c>
      <c r="H7" s="10" t="s">
        <v>113</v>
      </c>
      <c r="I7" s="10" t="s">
        <v>111</v>
      </c>
      <c r="J7" s="7" t="str">
        <f t="shared" si="0"/>
        <v>OK</v>
      </c>
    </row>
    <row r="8" spans="1:10" x14ac:dyDescent="0.3">
      <c r="A8" s="7" t="s">
        <v>38</v>
      </c>
      <c r="B8" s="8" t="s">
        <v>39</v>
      </c>
      <c r="C8" s="8" t="s">
        <v>40</v>
      </c>
      <c r="D8" s="10" t="s">
        <v>112</v>
      </c>
      <c r="E8" s="10" t="s">
        <v>114</v>
      </c>
      <c r="F8" s="10" t="s">
        <v>111</v>
      </c>
      <c r="G8" s="10" t="s">
        <v>113</v>
      </c>
      <c r="H8" s="10" t="s">
        <v>114</v>
      </c>
      <c r="I8" s="10" t="s">
        <v>114</v>
      </c>
      <c r="J8" s="7" t="str">
        <f t="shared" si="0"/>
        <v>OK</v>
      </c>
    </row>
    <row r="9" spans="1:10" x14ac:dyDescent="0.3">
      <c r="A9" s="7" t="s">
        <v>42</v>
      </c>
      <c r="B9" s="8" t="s">
        <v>43</v>
      </c>
      <c r="C9" s="8" t="s">
        <v>40</v>
      </c>
      <c r="D9" s="10" t="s">
        <v>112</v>
      </c>
      <c r="E9" s="10" t="s">
        <v>111</v>
      </c>
      <c r="F9" s="10" t="s">
        <v>113</v>
      </c>
      <c r="G9" s="10" t="s">
        <v>113</v>
      </c>
      <c r="H9" s="10" t="s">
        <v>114</v>
      </c>
      <c r="I9" s="10" t="s">
        <v>114</v>
      </c>
      <c r="J9" s="7" t="str">
        <f t="shared" si="0"/>
        <v>OK</v>
      </c>
    </row>
    <row r="10" spans="1:10" x14ac:dyDescent="0.3">
      <c r="A10" s="7" t="s">
        <v>46</v>
      </c>
      <c r="B10" s="8" t="s">
        <v>47</v>
      </c>
      <c r="C10" s="8" t="s">
        <v>40</v>
      </c>
      <c r="D10" s="10" t="s">
        <v>113</v>
      </c>
      <c r="E10" s="10" t="s">
        <v>112</v>
      </c>
      <c r="F10" s="10" t="s">
        <v>111</v>
      </c>
      <c r="G10" s="10" t="s">
        <v>114</v>
      </c>
      <c r="H10" s="10" t="s">
        <v>114</v>
      </c>
      <c r="I10" s="10" t="s">
        <v>114</v>
      </c>
      <c r="J10" s="7" t="str">
        <f t="shared" si="0"/>
        <v>OK</v>
      </c>
    </row>
    <row r="11" spans="1:10" x14ac:dyDescent="0.3">
      <c r="A11" s="7" t="s">
        <v>49</v>
      </c>
      <c r="B11" s="8" t="s">
        <v>50</v>
      </c>
      <c r="C11" s="8" t="s">
        <v>40</v>
      </c>
      <c r="D11" s="10" t="s">
        <v>114</v>
      </c>
      <c r="E11" s="10" t="s">
        <v>113</v>
      </c>
      <c r="F11" s="10" t="s">
        <v>113</v>
      </c>
      <c r="G11" s="10" t="s">
        <v>111</v>
      </c>
      <c r="H11" s="10" t="s">
        <v>114</v>
      </c>
      <c r="I11" s="10" t="s">
        <v>112</v>
      </c>
      <c r="J11" s="7" t="str">
        <f t="shared" si="0"/>
        <v>OK</v>
      </c>
    </row>
    <row r="12" spans="1:10" x14ac:dyDescent="0.3">
      <c r="A12" s="7" t="s">
        <v>53</v>
      </c>
      <c r="B12" s="8" t="s">
        <v>54</v>
      </c>
      <c r="C12" s="8" t="s">
        <v>40</v>
      </c>
      <c r="D12" s="10" t="s">
        <v>112</v>
      </c>
      <c r="E12" s="10" t="s">
        <v>113</v>
      </c>
      <c r="F12" s="10" t="s">
        <v>114</v>
      </c>
      <c r="G12" s="10" t="s">
        <v>113</v>
      </c>
      <c r="H12" s="10" t="s">
        <v>112</v>
      </c>
      <c r="I12" s="10" t="s">
        <v>111</v>
      </c>
      <c r="J12" s="7" t="str">
        <f t="shared" si="0"/>
        <v>OK</v>
      </c>
    </row>
    <row r="13" spans="1:10" x14ac:dyDescent="0.3">
      <c r="A13" s="7" t="s">
        <v>56</v>
      </c>
      <c r="B13" s="8" t="s">
        <v>57</v>
      </c>
      <c r="C13" s="8" t="s">
        <v>58</v>
      </c>
      <c r="D13" s="10" t="s">
        <v>114</v>
      </c>
      <c r="E13" s="10" t="s">
        <v>114</v>
      </c>
      <c r="F13" s="10" t="s">
        <v>113</v>
      </c>
      <c r="G13" s="10" t="s">
        <v>111</v>
      </c>
      <c r="H13" s="10" t="s">
        <v>114</v>
      </c>
      <c r="I13" s="10" t="s">
        <v>112</v>
      </c>
      <c r="J13" s="7" t="str">
        <f t="shared" si="0"/>
        <v>OK</v>
      </c>
    </row>
    <row r="14" spans="1:10" x14ac:dyDescent="0.3">
      <c r="A14" s="7" t="s">
        <v>59</v>
      </c>
      <c r="B14" s="8" t="s">
        <v>60</v>
      </c>
      <c r="C14" s="8" t="s">
        <v>58</v>
      </c>
      <c r="D14" s="10" t="s">
        <v>114</v>
      </c>
      <c r="E14" s="10" t="s">
        <v>112</v>
      </c>
      <c r="F14" s="10" t="s">
        <v>113</v>
      </c>
      <c r="G14" s="10" t="s">
        <v>111</v>
      </c>
      <c r="H14" s="10" t="s">
        <v>114</v>
      </c>
      <c r="I14" s="10" t="s">
        <v>114</v>
      </c>
      <c r="J14" s="7" t="str">
        <f t="shared" si="0"/>
        <v>OK</v>
      </c>
    </row>
    <row r="15" spans="1:10" x14ac:dyDescent="0.3">
      <c r="A15" s="7" t="s">
        <v>62</v>
      </c>
      <c r="B15" s="8" t="s">
        <v>63</v>
      </c>
      <c r="C15" s="8" t="s">
        <v>58</v>
      </c>
      <c r="D15" s="10" t="s">
        <v>111</v>
      </c>
      <c r="E15" s="10" t="s">
        <v>113</v>
      </c>
      <c r="F15" s="10" t="s">
        <v>114</v>
      </c>
      <c r="G15" s="10" t="s">
        <v>113</v>
      </c>
      <c r="H15" s="10" t="s">
        <v>112</v>
      </c>
      <c r="I15" s="10" t="s">
        <v>114</v>
      </c>
      <c r="J15" s="7" t="str">
        <f t="shared" si="0"/>
        <v>OK</v>
      </c>
    </row>
    <row r="16" spans="1:10" x14ac:dyDescent="0.3">
      <c r="A16" s="7" t="s">
        <v>64</v>
      </c>
      <c r="B16" s="8" t="s">
        <v>65</v>
      </c>
      <c r="C16" s="8" t="s">
        <v>66</v>
      </c>
      <c r="D16" s="10" t="s">
        <v>112</v>
      </c>
      <c r="E16" s="10" t="s">
        <v>111</v>
      </c>
      <c r="F16" s="10" t="s">
        <v>112</v>
      </c>
      <c r="G16" s="10" t="s">
        <v>113</v>
      </c>
      <c r="H16" s="10" t="s">
        <v>112</v>
      </c>
      <c r="I16" s="10" t="s">
        <v>114</v>
      </c>
      <c r="J16" s="7" t="str">
        <f t="shared" si="0"/>
        <v>OK</v>
      </c>
    </row>
    <row r="17" spans="1:10" x14ac:dyDescent="0.3">
      <c r="A17" s="7" t="s">
        <v>68</v>
      </c>
      <c r="B17" s="8" t="s">
        <v>69</v>
      </c>
      <c r="C17" s="8" t="s">
        <v>66</v>
      </c>
      <c r="D17" s="10" t="s">
        <v>114</v>
      </c>
      <c r="E17" s="10" t="s">
        <v>114</v>
      </c>
      <c r="F17" s="10" t="s">
        <v>113</v>
      </c>
      <c r="G17" s="10" t="s">
        <v>114</v>
      </c>
      <c r="H17" s="10" t="s">
        <v>111</v>
      </c>
      <c r="I17" s="10" t="s">
        <v>112</v>
      </c>
      <c r="J17" s="7" t="str">
        <f t="shared" si="0"/>
        <v>OK</v>
      </c>
    </row>
    <row r="18" spans="1:10" x14ac:dyDescent="0.3">
      <c r="A18" s="7" t="s">
        <v>72</v>
      </c>
      <c r="B18" s="8" t="s">
        <v>73</v>
      </c>
      <c r="C18" s="8" t="s">
        <v>66</v>
      </c>
      <c r="D18" s="10" t="s">
        <v>112</v>
      </c>
      <c r="E18" s="10" t="s">
        <v>114</v>
      </c>
      <c r="F18" s="10" t="s">
        <v>114</v>
      </c>
      <c r="G18" s="10" t="s">
        <v>114</v>
      </c>
      <c r="H18" s="10" t="s">
        <v>111</v>
      </c>
      <c r="I18" s="10" t="s">
        <v>112</v>
      </c>
      <c r="J18" s="7" t="str">
        <f t="shared" si="0"/>
        <v>OK</v>
      </c>
    </row>
    <row r="19" spans="1:10" ht="26.4" x14ac:dyDescent="0.3">
      <c r="A19" s="7" t="s">
        <v>75</v>
      </c>
      <c r="B19" s="8" t="s">
        <v>76</v>
      </c>
      <c r="C19" s="8" t="s">
        <v>66</v>
      </c>
      <c r="D19" s="10" t="s">
        <v>114</v>
      </c>
      <c r="E19" s="10" t="s">
        <v>114</v>
      </c>
      <c r="F19" s="10" t="s">
        <v>114</v>
      </c>
      <c r="G19" s="10" t="s">
        <v>113</v>
      </c>
      <c r="H19" s="10" t="s">
        <v>112</v>
      </c>
      <c r="I19" s="10" t="s">
        <v>111</v>
      </c>
      <c r="J19" s="7" t="str">
        <f t="shared" si="0"/>
        <v>OK</v>
      </c>
    </row>
    <row r="20" spans="1:10" x14ac:dyDescent="0.3">
      <c r="A20" s="7" t="s">
        <v>78</v>
      </c>
      <c r="B20" s="8" t="s">
        <v>79</v>
      </c>
      <c r="C20" s="8" t="s">
        <v>66</v>
      </c>
      <c r="D20" s="10" t="s">
        <v>112</v>
      </c>
      <c r="E20" s="10" t="s">
        <v>113</v>
      </c>
      <c r="F20" s="10" t="s">
        <v>111</v>
      </c>
      <c r="G20" s="10" t="s">
        <v>112</v>
      </c>
      <c r="H20" s="10" t="s">
        <v>113</v>
      </c>
      <c r="I20" s="10" t="s">
        <v>113</v>
      </c>
      <c r="J20" s="7" t="str">
        <f t="shared" si="0"/>
        <v>OK</v>
      </c>
    </row>
    <row r="21" spans="1:10" x14ac:dyDescent="0.3">
      <c r="A21" s="7" t="s">
        <v>81</v>
      </c>
      <c r="B21" s="8" t="s">
        <v>82</v>
      </c>
      <c r="C21" s="8" t="s">
        <v>83</v>
      </c>
      <c r="D21" s="10" t="s">
        <v>111</v>
      </c>
      <c r="E21" s="10" t="s">
        <v>112</v>
      </c>
      <c r="F21" s="10" t="s">
        <v>112</v>
      </c>
      <c r="G21" s="10" t="s">
        <v>112</v>
      </c>
      <c r="H21" s="10" t="s">
        <v>112</v>
      </c>
      <c r="I21" s="10" t="s">
        <v>112</v>
      </c>
      <c r="J21" s="7" t="str">
        <f t="shared" si="0"/>
        <v>OK</v>
      </c>
    </row>
    <row r="23" spans="1:10" x14ac:dyDescent="0.3">
      <c r="B23" s="17" t="s">
        <v>115</v>
      </c>
      <c r="D23" s="27" t="s">
        <v>116</v>
      </c>
      <c r="E23" s="27" t="s">
        <v>117</v>
      </c>
      <c r="F23" s="27" t="s">
        <v>118</v>
      </c>
      <c r="G23" s="27" t="s">
        <v>119</v>
      </c>
      <c r="H23" s="27" t="s">
        <v>120</v>
      </c>
      <c r="I23" s="27" t="s">
        <v>121</v>
      </c>
    </row>
    <row r="24" spans="1:10" x14ac:dyDescent="0.3">
      <c r="B24" s="28" t="s">
        <v>122</v>
      </c>
      <c r="D24" s="29">
        <f t="shared" ref="D24:I24" si="1">COUNTIF(D$5:D$21,"*A*")</f>
        <v>3</v>
      </c>
      <c r="E24" s="29">
        <f t="shared" si="1"/>
        <v>3</v>
      </c>
      <c r="F24" s="29">
        <f t="shared" si="1"/>
        <v>3</v>
      </c>
      <c r="G24" s="29">
        <f t="shared" si="1"/>
        <v>3</v>
      </c>
      <c r="H24" s="29">
        <f t="shared" si="1"/>
        <v>2</v>
      </c>
      <c r="I24" s="29">
        <f t="shared" si="1"/>
        <v>3</v>
      </c>
    </row>
    <row r="25" spans="1:10" x14ac:dyDescent="0.3">
      <c r="B25" s="28" t="s">
        <v>123</v>
      </c>
      <c r="D25" s="29">
        <f t="shared" ref="D25:I25" si="2">COUNTIF(D$5:D$21,"*R*")</f>
        <v>10</v>
      </c>
      <c r="E25" s="29">
        <f t="shared" si="2"/>
        <v>8</v>
      </c>
      <c r="F25" s="29">
        <f t="shared" si="2"/>
        <v>6</v>
      </c>
      <c r="G25" s="29">
        <f t="shared" si="2"/>
        <v>6</v>
      </c>
      <c r="H25" s="29">
        <f t="shared" si="2"/>
        <v>8</v>
      </c>
      <c r="I25" s="29">
        <f t="shared" si="2"/>
        <v>9</v>
      </c>
    </row>
    <row r="26" spans="1:10" x14ac:dyDescent="0.3">
      <c r="B26" s="28" t="s">
        <v>124</v>
      </c>
      <c r="D26" s="29">
        <f t="shared" ref="D26:I26" si="3">COUNTIF(D$5:D$21,"C")</f>
        <v>2</v>
      </c>
      <c r="E26" s="29">
        <f t="shared" si="3"/>
        <v>4</v>
      </c>
      <c r="F26" s="29">
        <f t="shared" si="3"/>
        <v>7</v>
      </c>
      <c r="G26" s="29">
        <f t="shared" si="3"/>
        <v>8</v>
      </c>
      <c r="H26" s="29">
        <f t="shared" si="3"/>
        <v>3</v>
      </c>
      <c r="I26" s="29">
        <f t="shared" si="3"/>
        <v>2</v>
      </c>
    </row>
    <row r="27" spans="1:10" x14ac:dyDescent="0.3">
      <c r="B27" s="28" t="s">
        <v>125</v>
      </c>
      <c r="D27" s="29">
        <f t="shared" ref="D27:I27" si="4">COUNTIF(D$5:D$21,"I")</f>
        <v>5</v>
      </c>
      <c r="E27" s="29">
        <f t="shared" si="4"/>
        <v>5</v>
      </c>
      <c r="F27" s="29">
        <f t="shared" si="4"/>
        <v>4</v>
      </c>
      <c r="G27" s="29">
        <f t="shared" si="4"/>
        <v>3</v>
      </c>
      <c r="H27" s="29">
        <f t="shared" si="4"/>
        <v>6</v>
      </c>
      <c r="I27" s="29">
        <f t="shared" si="4"/>
        <v>6</v>
      </c>
    </row>
    <row r="28" spans="1:10" x14ac:dyDescent="0.3">
      <c r="B28" s="20" t="s">
        <v>126</v>
      </c>
      <c r="D28" s="27">
        <f>SUM(D24:I24)</f>
        <v>17</v>
      </c>
      <c r="E28" s="30" t="str">
        <f>IF(D28=17,"OK: una A por cada una de las 17 tareas","Revisar")</f>
        <v>OK: una A por cada una de las 17 tareas</v>
      </c>
    </row>
    <row r="30" spans="1:10" x14ac:dyDescent="0.3">
      <c r="B30" s="17" t="s">
        <v>127</v>
      </c>
    </row>
    <row r="31" spans="1:10" ht="28.05" customHeight="1" x14ac:dyDescent="0.3">
      <c r="A31" s="3" t="s">
        <v>111</v>
      </c>
      <c r="B31" s="42" t="s">
        <v>128</v>
      </c>
      <c r="C31" s="38"/>
      <c r="D31" s="38"/>
      <c r="E31" s="38"/>
      <c r="F31" s="38"/>
      <c r="G31" s="38"/>
      <c r="H31" s="38"/>
      <c r="I31" s="38"/>
      <c r="J31" s="38"/>
    </row>
    <row r="32" spans="1:10" ht="28.05" customHeight="1" x14ac:dyDescent="0.3">
      <c r="A32" s="31" t="s">
        <v>112</v>
      </c>
      <c r="B32" s="42" t="s">
        <v>129</v>
      </c>
      <c r="C32" s="38"/>
      <c r="D32" s="38"/>
      <c r="E32" s="38"/>
      <c r="F32" s="38"/>
      <c r="G32" s="38"/>
      <c r="H32" s="38"/>
      <c r="I32" s="38"/>
      <c r="J32" s="38"/>
    </row>
    <row r="33" spans="1:10" ht="28.05" customHeight="1" x14ac:dyDescent="0.3">
      <c r="A33" s="32" t="s">
        <v>113</v>
      </c>
      <c r="B33" s="42" t="s">
        <v>130</v>
      </c>
      <c r="C33" s="38"/>
      <c r="D33" s="38"/>
      <c r="E33" s="38"/>
      <c r="F33" s="38"/>
      <c r="G33" s="38"/>
      <c r="H33" s="38"/>
      <c r="I33" s="38"/>
      <c r="J33" s="38"/>
    </row>
    <row r="34" spans="1:10" ht="28.05" customHeight="1" x14ac:dyDescent="0.3">
      <c r="A34" s="33" t="s">
        <v>114</v>
      </c>
      <c r="B34" s="42" t="s">
        <v>131</v>
      </c>
      <c r="C34" s="38"/>
      <c r="D34" s="38"/>
      <c r="E34" s="38"/>
      <c r="F34" s="38"/>
      <c r="G34" s="38"/>
      <c r="H34" s="38"/>
      <c r="I34" s="38"/>
      <c r="J34" s="38"/>
    </row>
    <row r="36" spans="1:10" ht="28.05" customHeight="1" x14ac:dyDescent="0.3">
      <c r="B36" s="37" t="s">
        <v>132</v>
      </c>
      <c r="C36" s="38"/>
      <c r="D36" s="38"/>
      <c r="E36" s="38"/>
      <c r="F36" s="38"/>
      <c r="G36" s="38"/>
      <c r="H36" s="38"/>
      <c r="I36" s="38"/>
      <c r="J36" s="38"/>
    </row>
  </sheetData>
  <mergeCells count="5">
    <mergeCell ref="B33:J33"/>
    <mergeCell ref="B34:J34"/>
    <mergeCell ref="B36:J36"/>
    <mergeCell ref="B32:J32"/>
    <mergeCell ref="B31:J31"/>
  </mergeCells>
  <conditionalFormatting sqref="D5:I21">
    <cfRule type="expression" dxfId="4" priority="1" stopIfTrue="1">
      <formula>D5="A/R"</formula>
    </cfRule>
    <cfRule type="expression" dxfId="3" priority="2" stopIfTrue="1">
      <formula>D5="R"</formula>
    </cfRule>
    <cfRule type="expression" dxfId="2" priority="3" stopIfTrue="1">
      <formula>D5="C"</formula>
    </cfRule>
    <cfRule type="expression" dxfId="1" priority="4" stopIfTrue="1">
      <formula>D5="I"</formula>
    </cfRule>
  </conditionalFormatting>
  <conditionalFormatting sqref="J5:J21">
    <cfRule type="expression" dxfId="0" priority="5">
      <formula>J5="Revisar"</formula>
    </cfRule>
  </conditionalFormatting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Carta Gantt</vt:lpstr>
      <vt:lpstr>Matriz RACI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Toledo Maclean</cp:lastModifiedBy>
  <dcterms:created xsi:type="dcterms:W3CDTF">2026-10-05T12:49:13Z</dcterms:created>
  <dcterms:modified xsi:type="dcterms:W3CDTF">2026-10-05T12:49:24Z</dcterms:modified>
</cp:coreProperties>
</file>